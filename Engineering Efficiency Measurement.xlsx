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shkin_av\Desktop\Эффективность инжиниринга\ENGINEERING PRODUCTIVITY MEASUREMENT\ТЗ ДС\"/>
    </mc:Choice>
  </mc:AlternateContent>
  <xr:revisionPtr revIDLastSave="0" documentId="13_ncr:1_{B5433174-F06D-44C6-8D20-ED55376FF5FB}" xr6:coauthVersionLast="47" xr6:coauthVersionMax="47" xr10:uidLastSave="{00000000-0000-0000-0000-000000000000}"/>
  <bookViews>
    <workbookView xWindow="-19428" yWindow="-17460" windowWidth="30936" windowHeight="16776" activeTab="3" xr2:uid="{58A8C5D1-9E61-4687-BBD4-D86BB1FD4F65}"/>
  </bookViews>
  <sheets>
    <sheet name="input I" sheetId="5" r:id="rId1"/>
    <sheet name="input II" sheetId="7" r:id="rId2"/>
    <sheet name="engineering efficiency PLAN" sheetId="6" r:id="rId3"/>
    <sheet name="engineering efficiency FACT" sheetId="3" r:id="rId4"/>
  </sheets>
  <definedNames>
    <definedName name="cad">'engineering efficiency PLAN'!$F$4</definedName>
    <definedName name="comm">'engineering efficiency PLAN'!$G$4</definedName>
    <definedName name="constr">'engineering efficiency PLAN'!$H$4</definedName>
    <definedName name="data">'engineering efficiency PLAN'!$E$4</definedName>
    <definedName name="designer">'engineering efficiency PLAN'!$J$4</definedName>
    <definedName name="id">'engineering efficiency PLAN'!$S$4</definedName>
    <definedName name="overlap">'engineering efficiency PLAN'!$I$4</definedName>
    <definedName name="owner">'engineering efficiency PLAN'!$L$4</definedName>
    <definedName name="percent">'engineering efficiency PLAN'!$M$4</definedName>
    <definedName name="qualifi">'engineering efficiency PLAN'!$K$4</definedName>
    <definedName name="resize">'engineering efficiency PLAN'!$O$4</definedName>
    <definedName name="scope">'engineering efficiency PLAN'!$P$4</definedName>
    <definedName name="site">'engineering efficiency PLAN'!$Q$4</definedName>
    <definedName name="size">'engineering efficiency PLAN'!$N$4</definedName>
    <definedName name="solver_adj" localSheetId="2" hidden="1">'engineering efficiency PLAN'!#REF!,'engineering efficiency PLAN'!#REF!,'engineering efficiency PLAN'!#REF!,'engineering efficiency PLAN'!#REF!</definedName>
    <definedName name="solver_cvg" localSheetId="2" hidden="1">0.00001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'engineering efficiency PLAN'!#REF!</definedName>
    <definedName name="solver_lhs2" localSheetId="2" hidden="1">'engineering efficiency PLAN'!#REF!</definedName>
    <definedName name="solver_lhs3" localSheetId="2" hidden="1">'engineering efficiency PLAN'!#REF!</definedName>
    <definedName name="solver_lhs4" localSheetId="2" hidden="1">'engineering efficiency PLAN'!#REF!</definedName>
    <definedName name="solver_lhs5" localSheetId="2" hidden="1">'engineering efficiency PLAN'!#REF!</definedName>
    <definedName name="solver_lhs6" localSheetId="2" hidden="1">'engineering efficiency PLAN'!#REF!</definedName>
    <definedName name="solver_lhs7" localSheetId="2" hidden="1">'engineering efficiency PLAN'!#REF!</definedName>
    <definedName name="solver_lhs8" localSheetId="2" hidden="1">'engineering efficiency PLAN'!#REF!</definedName>
    <definedName name="solver_lhs9" localSheetId="2" hidden="1">'engineering efficiency PLAN'!#REF!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'engineering efficiency PLAN'!#REF!</definedName>
    <definedName name="solver_pre" localSheetId="2" hidden="1">0.000000001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el7" localSheetId="2" hidden="1">3</definedName>
    <definedName name="solver_rel8" localSheetId="2" hidden="1">3</definedName>
    <definedName name="solver_rel9" localSheetId="2" hidden="1">3</definedName>
    <definedName name="solver_rhs1" localSheetId="2" hidden="1">7.3</definedName>
    <definedName name="solver_rhs2" localSheetId="2" hidden="1">7.2</definedName>
    <definedName name="solver_rhs3" localSheetId="2" hidden="1">1.33</definedName>
    <definedName name="solver_rhs4" localSheetId="2" hidden="1">1.2</definedName>
    <definedName name="solver_rhs5" localSheetId="2" hidden="1">6.2</definedName>
    <definedName name="solver_rhs6" localSheetId="2" hidden="1">6</definedName>
    <definedName name="solver_rhs7" localSheetId="2" hidden="1">6</definedName>
    <definedName name="solver_rhs8" localSheetId="2" hidden="1">6</definedName>
    <definedName name="solver_rhs9" localSheetId="2" hidden="1">6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  <definedName name="split">'engineering efficiency PLAN'!$R$4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  <c r="G6" i="6"/>
  <c r="F6" i="6"/>
  <c r="V6" i="6" s="1"/>
  <c r="W6" i="6" s="1"/>
  <c r="Y6" i="6" s="1"/>
  <c r="Q8" i="6"/>
  <c r="N8" i="6"/>
  <c r="L9" i="6"/>
  <c r="K9" i="6"/>
  <c r="V9" i="6" s="1"/>
  <c r="W9" i="6" s="1"/>
  <c r="Y9" i="6" s="1"/>
  <c r="Q10" i="6"/>
  <c r="J10" i="6"/>
  <c r="H10" i="6"/>
  <c r="J15" i="6"/>
  <c r="V15" i="6" s="1"/>
  <c r="W15" i="6" s="1"/>
  <c r="Y15" i="6" s="1"/>
  <c r="R7" i="6"/>
  <c r="P7" i="6"/>
  <c r="O7" i="6"/>
  <c r="N7" i="6"/>
  <c r="V8" i="6" l="1"/>
  <c r="W8" i="6" s="1"/>
  <c r="Y8" i="6" s="1"/>
  <c r="V10" i="6"/>
  <c r="W10" i="6" s="1"/>
  <c r="Y10" i="6" s="1"/>
  <c r="V7" i="6"/>
  <c r="W7" i="6" s="1"/>
  <c r="Y7" i="6" s="1"/>
  <c r="Q14" i="6"/>
  <c r="P14" i="6"/>
  <c r="L14" i="6"/>
  <c r="J14" i="6"/>
  <c r="N13" i="6"/>
  <c r="M13" i="6"/>
  <c r="H13" i="6"/>
  <c r="E13" i="6"/>
  <c r="V13" i="6" s="1"/>
  <c r="W13" i="6" s="1"/>
  <c r="Y13" i="6" s="1"/>
  <c r="I12" i="6"/>
  <c r="H12" i="6"/>
  <c r="V12" i="6" s="1"/>
  <c r="W12" i="6" s="1"/>
  <c r="Y12" i="6" s="1"/>
  <c r="S11" i="6"/>
  <c r="H11" i="6"/>
  <c r="V11" i="6" s="1"/>
  <c r="W11" i="6" s="1"/>
  <c r="Y11" i="6" s="1"/>
  <c r="V14" i="6" l="1"/>
  <c r="W14" i="6" s="1"/>
  <c r="Y14" i="6" s="1"/>
  <c r="Y16" i="6"/>
  <c r="L5" i="3"/>
  <c r="N5" i="3" l="1"/>
  <c r="L14" i="3"/>
  <c r="N14" i="3" s="1"/>
  <c r="L13" i="3"/>
  <c r="N13" i="3" s="1"/>
  <c r="L12" i="3"/>
  <c r="N12" i="3" s="1"/>
  <c r="L11" i="3"/>
  <c r="N11" i="3" s="1"/>
  <c r="L10" i="3"/>
  <c r="N10" i="3" s="1"/>
  <c r="L9" i="3"/>
  <c r="N9" i="3" s="1"/>
  <c r="L8" i="3"/>
  <c r="N8" i="3" s="1"/>
  <c r="L7" i="3"/>
  <c r="N7" i="3" s="1"/>
  <c r="L6" i="3"/>
  <c r="N6" i="3" s="1"/>
  <c r="N15" i="3" l="1"/>
</calcChain>
</file>

<file path=xl/sharedStrings.xml><?xml version="1.0" encoding="utf-8"?>
<sst xmlns="http://schemas.openxmlformats.org/spreadsheetml/2006/main" count="305" uniqueCount="171">
  <si>
    <t>v. low</t>
  </si>
  <si>
    <t>low</t>
  </si>
  <si>
    <t>moderate</t>
  </si>
  <si>
    <t>high</t>
  </si>
  <si>
    <t>v. high</t>
  </si>
  <si>
    <t>Engineering Performance Measures</t>
  </si>
  <si>
    <t>y1</t>
  </si>
  <si>
    <t>y2</t>
  </si>
  <si>
    <t>y8</t>
  </si>
  <si>
    <t>y9</t>
  </si>
  <si>
    <t>y3</t>
  </si>
  <si>
    <t>y4</t>
  </si>
  <si>
    <t>y5</t>
  </si>
  <si>
    <t>y6</t>
  </si>
  <si>
    <t>y7</t>
  </si>
  <si>
    <t>y10</t>
  </si>
  <si>
    <t>veri low / very unsatisfactory</t>
  </si>
  <si>
    <t>low / unsatisfactory</t>
  </si>
  <si>
    <t>high / satisfactory</t>
  </si>
  <si>
    <t>veri high / very satisfactory</t>
  </si>
  <si>
    <t>Productivity function</t>
  </si>
  <si>
    <t>coefficient</t>
  </si>
  <si>
    <r>
      <t xml:space="preserve">%Detailed design cost overrun / </t>
    </r>
    <r>
      <rPr>
        <i/>
        <sz val="11"/>
        <color theme="3"/>
        <rFont val="Calibri"/>
        <family val="2"/>
        <charset val="204"/>
        <scheme val="minor"/>
      </rPr>
      <t>%Превышение затрат на детальное проектирование</t>
    </r>
  </si>
  <si>
    <r>
      <t xml:space="preserve">Design document release commitment / </t>
    </r>
    <r>
      <rPr>
        <i/>
        <sz val="11"/>
        <color theme="3"/>
        <rFont val="Calibri"/>
        <family val="2"/>
        <charset val="204"/>
        <scheme val="minor"/>
      </rPr>
      <t>Обязательство по выпуску проектной документации</t>
    </r>
  </si>
  <si>
    <r>
      <t xml:space="preserve">%Detailed design schedule delay / </t>
    </r>
    <r>
      <rPr>
        <i/>
        <sz val="11"/>
        <color theme="3"/>
        <rFont val="Calibri"/>
        <family val="2"/>
        <charset val="204"/>
        <scheme val="minor"/>
      </rPr>
      <t>%Задержка в графике детального проектирования</t>
    </r>
  </si>
  <si>
    <r>
      <t xml:space="preserve">%Fabrication &amp; construction schedule delay due to design deficiencies / </t>
    </r>
    <r>
      <rPr>
        <i/>
        <sz val="11"/>
        <color theme="3"/>
        <rFont val="Calibri"/>
        <family val="2"/>
        <charset val="204"/>
        <scheme val="minor"/>
      </rPr>
      <t>%Задержка в сроках изготовления и строительства из-за недостатков проекта</t>
    </r>
  </si>
  <si>
    <r>
      <t xml:space="preserve">%Fabrication &amp; construction cost increase due to design deficiencies / </t>
    </r>
    <r>
      <rPr>
        <i/>
        <sz val="11"/>
        <color theme="3"/>
        <rFont val="Calibri"/>
        <family val="2"/>
        <charset val="204"/>
        <scheme val="minor"/>
      </rPr>
      <t>%Увеличение стоимости изготовления и строительства из-за недостатков проекта</t>
    </r>
  </si>
  <si>
    <r>
      <t xml:space="preserve">%Construction hours for design problem solving / </t>
    </r>
    <r>
      <rPr>
        <i/>
        <sz val="11"/>
        <color theme="3"/>
        <rFont val="Calibri"/>
        <family val="2"/>
        <charset val="204"/>
        <scheme val="minor"/>
      </rPr>
      <t>%Строительные часы, затрачиваемые на решение проектных задач</t>
    </r>
  </si>
  <si>
    <r>
      <t xml:space="preserve">%Estimated constructability Dollar savings / </t>
    </r>
    <r>
      <rPr>
        <i/>
        <sz val="11"/>
        <color theme="3"/>
        <rFont val="Calibri"/>
        <family val="2"/>
        <charset val="204"/>
        <scheme val="minor"/>
      </rPr>
      <t>%Экономия средств на строительстве</t>
    </r>
  </si>
  <si>
    <r>
      <t xml:space="preserve">%Start-up schedule delay due to design deficiencies / </t>
    </r>
    <r>
      <rPr>
        <i/>
        <sz val="11"/>
        <color theme="3"/>
        <rFont val="Calibri"/>
        <family val="2"/>
        <charset val="204"/>
        <scheme val="minor"/>
      </rPr>
      <t>%Задержка ввода в эксплуатацию из-за недостатков проекта</t>
    </r>
  </si>
  <si>
    <r>
      <t xml:space="preserve">%Start-up cost increase due to design deficiencies / </t>
    </r>
    <r>
      <rPr>
        <i/>
        <sz val="11"/>
        <color theme="3"/>
        <rFont val="Calibri"/>
        <family val="2"/>
        <charset val="204"/>
        <scheme val="minor"/>
      </rPr>
      <t>% Рост стоимости ввода в эксплуатацию из-за недостатков проекта</t>
    </r>
  </si>
  <si>
    <r>
      <t>%Engineering rework /</t>
    </r>
    <r>
      <rPr>
        <i/>
        <sz val="11"/>
        <color theme="3"/>
        <rFont val="Calibri"/>
        <family val="2"/>
        <charset val="204"/>
        <scheme val="minor"/>
      </rPr>
      <t xml:space="preserve"> %Перепроектирование</t>
    </r>
  </si>
  <si>
    <t>• Designer previous experience w/ process technology</t>
  </si>
  <si>
    <t>• Owner previous experience w/ process technology</t>
  </si>
  <si>
    <t>• Site conditions</t>
  </si>
  <si>
    <t>• Percent TIC scope changes</t>
  </si>
  <si>
    <t>• Constructor input</t>
  </si>
  <si>
    <t>• Basic design data</t>
  </si>
  <si>
    <t>• Project size</t>
  </si>
  <si>
    <t>• Design-construction overlap</t>
  </si>
  <si>
    <t>• Use of integrated databases</t>
  </si>
  <si>
    <t>• Designer qualifications and capacity</t>
  </si>
  <si>
    <t>• Split engineering practices</t>
  </si>
  <si>
    <t>• Change communication system</t>
  </si>
  <si>
    <t>limited use</t>
  </si>
  <si>
    <t>limited/normal</t>
  </si>
  <si>
    <t>normal use</t>
  </si>
  <si>
    <t>extensive use</t>
  </si>
  <si>
    <t>normal/extensive</t>
  </si>
  <si>
    <t>100% new</t>
  </si>
  <si>
    <t>75% new</t>
  </si>
  <si>
    <t>50% new</t>
  </si>
  <si>
    <t>25% new</t>
  </si>
  <si>
    <t>duplicate or scale</t>
  </si>
  <si>
    <t>Yes</t>
  </si>
  <si>
    <t>Yes/No</t>
  </si>
  <si>
    <t>No</t>
  </si>
  <si>
    <t>About $90M</t>
  </si>
  <si>
    <t>About $70M</t>
  </si>
  <si>
    <t>About $50M</t>
  </si>
  <si>
    <t>About $30M</t>
  </si>
  <si>
    <t>About $10M</t>
  </si>
  <si>
    <t>v. large</t>
  </si>
  <si>
    <t>large</t>
  </si>
  <si>
    <t>medium</t>
  </si>
  <si>
    <t>small</t>
  </si>
  <si>
    <t>v. small</t>
  </si>
  <si>
    <t>low-moderate</t>
  </si>
  <si>
    <t>moderate-high</t>
  </si>
  <si>
    <t>levels of factors</t>
  </si>
  <si>
    <t>Factor Designation</t>
  </si>
  <si>
    <t>Factor value (assessment function)</t>
  </si>
  <si>
    <t>value by the chapter</t>
  </si>
  <si>
    <t>TOTAL Effective Productivity FACT assessment</t>
  </si>
  <si>
    <t>Factor Function</t>
  </si>
  <si>
    <t xml:space="preserve">doun border when function is "0" </t>
  </si>
  <si>
    <t>upper border when function is "1"</t>
  </si>
  <si>
    <t>assumed for calculation</t>
  </si>
  <si>
    <t>Input Variables Description</t>
  </si>
  <si>
    <t>Input Variables values</t>
  </si>
  <si>
    <t>cad</t>
  </si>
  <si>
    <t>constr</t>
  </si>
  <si>
    <t>comm</t>
  </si>
  <si>
    <t>size</t>
  </si>
  <si>
    <t>resize</t>
  </si>
  <si>
    <t>split</t>
  </si>
  <si>
    <t>scope</t>
  </si>
  <si>
    <t>owner</t>
  </si>
  <si>
    <t>percent</t>
  </si>
  <si>
    <t>site</t>
  </si>
  <si>
    <t>designer</t>
  </si>
  <si>
    <t>qualifi</t>
  </si>
  <si>
    <t>data</t>
  </si>
  <si>
    <t>overlap</t>
  </si>
  <si>
    <t>id</t>
  </si>
  <si>
    <t>very low / bad / unsatisfactory</t>
  </si>
  <si>
    <t>very high / good / satisfactory</t>
  </si>
  <si>
    <t>Basic Design Data</t>
  </si>
  <si>
    <t>• General plant identification</t>
  </si>
  <si>
    <t>• General project summary</t>
  </si>
  <si>
    <t>• Process description</t>
  </si>
  <si>
    <t>• Special requirements of design, startup, shut downs, site, and material handling</t>
  </si>
  <si>
    <t>• Environmental data</t>
  </si>
  <si>
    <t>• Cost considerations</t>
  </si>
  <si>
    <t>• General service and yard facilities</t>
  </si>
  <si>
    <t>• PFD</t>
  </si>
  <si>
    <t>• P&amp;IDs and supporting data</t>
  </si>
  <si>
    <t>• Project type and facility description</t>
  </si>
  <si>
    <t>• Data availability</t>
  </si>
  <si>
    <t>• Objectives and priorities incl. cost, schedule, capacity and quality</t>
  </si>
  <si>
    <t>• Description of new process equipment</t>
  </si>
  <si>
    <t>• Reference on process fluids, materials of construction and type of instrumentation.</t>
  </si>
  <si>
    <t>• Automated system requirements</t>
  </si>
  <si>
    <t>• Special alternates needed</t>
  </si>
  <si>
    <t>• Designer organization</t>
  </si>
  <si>
    <t>• Experience with similar projects</t>
  </si>
  <si>
    <t>• Knowledge of the technology</t>
  </si>
  <si>
    <t>• Management of changes</t>
  </si>
  <si>
    <t>• Project team qualifications</t>
  </si>
  <si>
    <t>• Project team continuity</t>
  </si>
  <si>
    <t>• Contract agreement</t>
  </si>
  <si>
    <t>• Design approach</t>
  </si>
  <si>
    <t>• Capacity, readiness and computer capabilities</t>
  </si>
  <si>
    <t>Construction Input</t>
  </si>
  <si>
    <t>• Labor and material availability</t>
  </si>
  <si>
    <t>• Appropriate construction methods and technology</t>
  </si>
  <si>
    <t>• Construction sequence</t>
  </si>
  <si>
    <t>• New concepts or materials or systems</t>
  </si>
  <si>
    <t>• Practical advice on field conditions, safety and labor conditions</t>
  </si>
  <si>
    <t>• Design approach Constructability team activity during detailed design</t>
  </si>
  <si>
    <t>• Scope completeness / Scope Definition</t>
  </si>
  <si>
    <t>significant impact</t>
  </si>
  <si>
    <t>slightly more than normal impact</t>
  </si>
  <si>
    <t>typical Impact</t>
  </si>
  <si>
    <t>little Impact
(new unit in
existing plant)</t>
  </si>
  <si>
    <t>insignificant
impact</t>
  </si>
  <si>
    <t>• Relative size of project (compared to other projects
from the same industry sector)</t>
  </si>
  <si>
    <t>• 3D CAD modeling</t>
  </si>
  <si>
    <t>90% - "fast track"</t>
  </si>
  <si>
    <t>50% - "normal"</t>
  </si>
  <si>
    <t>70% - "fast track / normal"</t>
  </si>
  <si>
    <t>30% - "non schedule driven / normal"</t>
  </si>
  <si>
    <t>10% - "non-schedule driven"</t>
  </si>
  <si>
    <t xml:space="preserve">• Relative size of project </t>
  </si>
  <si>
    <t>от 9 до 1</t>
  </si>
  <si>
    <t>от 1 до 9</t>
  </si>
  <si>
    <t>от 5 до 1</t>
  </si>
  <si>
    <t>от 3 до 1</t>
  </si>
  <si>
    <t>worst</t>
  </si>
  <si>
    <t>best</t>
  </si>
  <si>
    <t>• Vendor data</t>
  </si>
  <si>
    <t>от 1 до 5</t>
  </si>
  <si>
    <t>1=very low</t>
  </si>
  <si>
    <t>2=low</t>
  </si>
  <si>
    <t>3=moderate</t>
  </si>
  <si>
    <t>4=high</t>
  </si>
  <si>
    <t>5=very high</t>
  </si>
  <si>
    <t>1=very unsatisfactory</t>
  </si>
  <si>
    <t>2=unsatisfactory</t>
  </si>
  <si>
    <t>4=satisfactory</t>
  </si>
  <si>
    <t>5=very satisfactory</t>
  </si>
  <si>
    <t>Scope completeness / Scope Definition</t>
  </si>
  <si>
    <r>
      <t xml:space="preserve">при нимаемые значения </t>
    </r>
    <r>
      <rPr>
        <sz val="11"/>
        <color theme="1"/>
        <rFont val="Calibri"/>
        <family val="2"/>
        <charset val="204"/>
      </rPr>
      <t>→</t>
    </r>
  </si>
  <si>
    <r>
      <t xml:space="preserve">factors long name /факторы длинное имя </t>
    </r>
    <r>
      <rPr>
        <sz val="11"/>
        <color theme="1"/>
        <rFont val="Calibri"/>
        <family val="2"/>
        <charset val="204"/>
      </rPr>
      <t>→</t>
    </r>
  </si>
  <si>
    <r>
      <t xml:space="preserve">factors short name / факторы короткое имя </t>
    </r>
    <r>
      <rPr>
        <sz val="11"/>
        <color theme="1"/>
        <rFont val="Calibri"/>
        <family val="2"/>
        <charset val="204"/>
      </rPr>
      <t>→</t>
    </r>
  </si>
  <si>
    <r>
      <t xml:space="preserve">factors assumed value / значение, принятое в расчете </t>
    </r>
    <r>
      <rPr>
        <sz val="11"/>
        <color theme="1"/>
        <rFont val="Calibri"/>
        <family val="2"/>
        <charset val="204"/>
      </rPr>
      <t>→</t>
    </r>
  </si>
  <si>
    <t>Designer qualifications and capacity</t>
  </si>
  <si>
    <t>long name</t>
  </si>
  <si>
    <t>short name</t>
  </si>
  <si>
    <t>Принимаемые значенгия переменных в зависимости от качественной оценки</t>
  </si>
  <si>
    <t xml:space="preserve">Качественная оценка переменных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</si>
</sst>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i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5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3"/>
      </left>
      <right style="dashed">
        <color theme="3"/>
      </right>
      <top style="dashed">
        <color theme="3"/>
      </top>
      <bottom style="dashed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theme="3"/>
      </right>
      <top style="dashed">
        <color theme="3"/>
      </top>
      <bottom style="dashed">
        <color theme="3"/>
      </bottom>
      <diagonal/>
    </border>
    <border>
      <left style="dashed">
        <color theme="3"/>
      </left>
      <right/>
      <top style="dashed">
        <color theme="3"/>
      </top>
      <bottom style="dashed">
        <color theme="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4" borderId="3" xfId="0" applyFill="1" applyBorder="1"/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2" xfId="0" applyBorder="1"/>
    <xf numFmtId="10" fontId="0" fillId="0" borderId="2" xfId="0" applyNumberFormat="1" applyBorder="1"/>
    <xf numFmtId="2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wrapText="1"/>
    </xf>
    <xf numFmtId="0" fontId="2" fillId="6" borderId="2" xfId="0" applyFont="1" applyFill="1" applyBorder="1"/>
    <xf numFmtId="165" fontId="2" fillId="6" borderId="2" xfId="0" applyNumberFormat="1" applyFont="1" applyFill="1" applyBorder="1"/>
    <xf numFmtId="9" fontId="0" fillId="0" borderId="2" xfId="0" applyNumberFormat="1" applyBorder="1"/>
    <xf numFmtId="0" fontId="2" fillId="6" borderId="2" xfId="0" applyFont="1" applyFill="1" applyBorder="1" applyAlignment="1">
      <alignment wrapText="1"/>
    </xf>
    <xf numFmtId="164" fontId="0" fillId="0" borderId="2" xfId="1" applyNumberFormat="1" applyFont="1" applyBorder="1"/>
    <xf numFmtId="0" fontId="4" fillId="0" borderId="0" xfId="0" applyFont="1"/>
    <xf numFmtId="0" fontId="0" fillId="4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/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7" borderId="0" xfId="0" applyFill="1"/>
    <xf numFmtId="0" fontId="0" fillId="8" borderId="2" xfId="0" applyFill="1" applyBorder="1"/>
    <xf numFmtId="10" fontId="0" fillId="0" borderId="2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166" fontId="0" fillId="0" borderId="2" xfId="0" applyNumberFormat="1" applyBorder="1" applyAlignment="1">
      <alignment wrapText="1"/>
    </xf>
    <xf numFmtId="0" fontId="4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5" fontId="0" fillId="8" borderId="2" xfId="0" applyNumberFormat="1" applyFill="1" applyBorder="1"/>
    <xf numFmtId="164" fontId="0" fillId="0" borderId="2" xfId="0" applyNumberFormat="1" applyBorder="1"/>
    <xf numFmtId="166" fontId="0" fillId="0" borderId="2" xfId="0" applyNumberFormat="1" applyBorder="1"/>
    <xf numFmtId="1" fontId="0" fillId="0" borderId="2" xfId="0" applyNumberFormat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/>
    <xf numFmtId="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9812-BC94-4620-8E8E-5B2AB52CDCE8}">
  <dimension ref="B2:H38"/>
  <sheetViews>
    <sheetView showGridLines="0" topLeftCell="A16" workbookViewId="0">
      <selection activeCell="K40" sqref="K40"/>
    </sheetView>
  </sheetViews>
  <sheetFormatPr defaultRowHeight="14.4" x14ac:dyDescent="0.3"/>
  <cols>
    <col min="2" max="2" width="45.77734375" bestFit="1" customWidth="1"/>
    <col min="3" max="3" width="10.5546875" bestFit="1" customWidth="1"/>
    <col min="4" max="7" width="15.88671875" customWidth="1"/>
    <col min="8" max="8" width="16.21875" customWidth="1"/>
  </cols>
  <sheetData>
    <row r="2" spans="2:8" x14ac:dyDescent="0.3">
      <c r="B2" t="s">
        <v>170</v>
      </c>
    </row>
    <row r="3" spans="2:8" x14ac:dyDescent="0.3">
      <c r="B3" s="40" t="s">
        <v>78</v>
      </c>
      <c r="C3" s="41"/>
      <c r="D3" s="41"/>
      <c r="E3" s="41"/>
      <c r="F3" s="41"/>
      <c r="G3" s="41"/>
      <c r="H3" s="42"/>
    </row>
    <row r="4" spans="2:8" ht="28.8" x14ac:dyDescent="0.3">
      <c r="B4" s="43" t="s">
        <v>167</v>
      </c>
      <c r="C4" s="44" t="s">
        <v>168</v>
      </c>
      <c r="D4" s="45" t="s">
        <v>95</v>
      </c>
      <c r="E4" s="45" t="s">
        <v>17</v>
      </c>
      <c r="F4" s="45" t="s">
        <v>2</v>
      </c>
      <c r="G4" s="45" t="s">
        <v>18</v>
      </c>
      <c r="H4" s="46" t="s">
        <v>96</v>
      </c>
    </row>
    <row r="5" spans="2:8" x14ac:dyDescent="0.3">
      <c r="B5" s="47" t="s">
        <v>37</v>
      </c>
      <c r="C5" s="9" t="s">
        <v>92</v>
      </c>
      <c r="D5" s="20" t="s">
        <v>0</v>
      </c>
      <c r="E5" s="18" t="s">
        <v>1</v>
      </c>
      <c r="F5" s="18" t="s">
        <v>2</v>
      </c>
      <c r="G5" s="18" t="s">
        <v>3</v>
      </c>
      <c r="H5" s="48" t="s">
        <v>4</v>
      </c>
    </row>
    <row r="6" spans="2:8" x14ac:dyDescent="0.3">
      <c r="B6" s="47" t="s">
        <v>137</v>
      </c>
      <c r="C6" s="9" t="s">
        <v>80</v>
      </c>
      <c r="D6" s="18" t="s">
        <v>44</v>
      </c>
      <c r="E6" s="18" t="s">
        <v>45</v>
      </c>
      <c r="F6" s="18" t="s">
        <v>46</v>
      </c>
      <c r="G6" s="18" t="s">
        <v>48</v>
      </c>
      <c r="H6" s="48" t="s">
        <v>47</v>
      </c>
    </row>
    <row r="7" spans="2:8" x14ac:dyDescent="0.3">
      <c r="B7" s="47" t="s">
        <v>43</v>
      </c>
      <c r="C7" s="9" t="s">
        <v>82</v>
      </c>
      <c r="D7" s="18" t="s">
        <v>1</v>
      </c>
      <c r="E7" s="18" t="s">
        <v>67</v>
      </c>
      <c r="F7" s="18" t="s">
        <v>2</v>
      </c>
      <c r="G7" s="18" t="s">
        <v>68</v>
      </c>
      <c r="H7" s="48" t="s">
        <v>3</v>
      </c>
    </row>
    <row r="8" spans="2:8" x14ac:dyDescent="0.3">
      <c r="B8" s="47" t="s">
        <v>36</v>
      </c>
      <c r="C8" s="9" t="s">
        <v>81</v>
      </c>
      <c r="D8" s="20" t="s">
        <v>0</v>
      </c>
      <c r="E8" s="18" t="s">
        <v>1</v>
      </c>
      <c r="F8" s="18" t="s">
        <v>2</v>
      </c>
      <c r="G8" s="18" t="s">
        <v>3</v>
      </c>
      <c r="H8" s="48" t="s">
        <v>4</v>
      </c>
    </row>
    <row r="9" spans="2:8" ht="43.2" x14ac:dyDescent="0.3">
      <c r="B9" s="47" t="s">
        <v>39</v>
      </c>
      <c r="C9" s="9" t="s">
        <v>93</v>
      </c>
      <c r="D9" s="19" t="s">
        <v>138</v>
      </c>
      <c r="E9" s="21" t="s">
        <v>140</v>
      </c>
      <c r="F9" s="21" t="s">
        <v>139</v>
      </c>
      <c r="G9" s="21" t="s">
        <v>141</v>
      </c>
      <c r="H9" s="49" t="s">
        <v>142</v>
      </c>
    </row>
    <row r="10" spans="2:8" x14ac:dyDescent="0.3">
      <c r="B10" s="47" t="s">
        <v>32</v>
      </c>
      <c r="C10" s="9" t="s">
        <v>90</v>
      </c>
      <c r="D10" s="19" t="s">
        <v>49</v>
      </c>
      <c r="E10" s="19" t="s">
        <v>50</v>
      </c>
      <c r="F10" s="19" t="s">
        <v>51</v>
      </c>
      <c r="G10" s="19" t="s">
        <v>52</v>
      </c>
      <c r="H10" s="50" t="s">
        <v>53</v>
      </c>
    </row>
    <row r="11" spans="2:8" x14ac:dyDescent="0.3">
      <c r="B11" s="47" t="s">
        <v>41</v>
      </c>
      <c r="C11" s="17" t="s">
        <v>91</v>
      </c>
      <c r="D11" s="20" t="s">
        <v>0</v>
      </c>
      <c r="E11" s="18" t="s">
        <v>1</v>
      </c>
      <c r="F11" s="18" t="s">
        <v>2</v>
      </c>
      <c r="G11" s="18" t="s">
        <v>3</v>
      </c>
      <c r="H11" s="48" t="s">
        <v>4</v>
      </c>
    </row>
    <row r="12" spans="2:8" x14ac:dyDescent="0.3">
      <c r="B12" s="47" t="s">
        <v>33</v>
      </c>
      <c r="C12" s="9" t="s">
        <v>87</v>
      </c>
      <c r="D12" s="19" t="s">
        <v>49</v>
      </c>
      <c r="E12" s="19" t="s">
        <v>50</v>
      </c>
      <c r="F12" s="19" t="s">
        <v>51</v>
      </c>
      <c r="G12" s="19" t="s">
        <v>52</v>
      </c>
      <c r="H12" s="50" t="s">
        <v>53</v>
      </c>
    </row>
    <row r="13" spans="2:8" x14ac:dyDescent="0.3">
      <c r="B13" s="47" t="s">
        <v>35</v>
      </c>
      <c r="C13" s="9" t="s">
        <v>88</v>
      </c>
      <c r="D13" s="19">
        <v>0.09</v>
      </c>
      <c r="E13" s="19">
        <v>7.0000000000000007E-2</v>
      </c>
      <c r="F13" s="19">
        <v>0.05</v>
      </c>
      <c r="G13" s="19">
        <v>0.03</v>
      </c>
      <c r="H13" s="51">
        <v>0.01</v>
      </c>
    </row>
    <row r="14" spans="2:8" x14ac:dyDescent="0.3">
      <c r="B14" s="47" t="s">
        <v>38</v>
      </c>
      <c r="C14" s="9" t="s">
        <v>83</v>
      </c>
      <c r="D14" s="18" t="s">
        <v>57</v>
      </c>
      <c r="E14" s="18" t="s">
        <v>58</v>
      </c>
      <c r="F14" s="18" t="s">
        <v>59</v>
      </c>
      <c r="G14" s="18" t="s">
        <v>60</v>
      </c>
      <c r="H14" s="48" t="s">
        <v>61</v>
      </c>
    </row>
    <row r="15" spans="2:8" ht="28.8" x14ac:dyDescent="0.3">
      <c r="B15" s="47" t="s">
        <v>136</v>
      </c>
      <c r="C15" s="9" t="s">
        <v>84</v>
      </c>
      <c r="D15" s="18" t="s">
        <v>62</v>
      </c>
      <c r="E15" s="18" t="s">
        <v>63</v>
      </c>
      <c r="F15" s="18" t="s">
        <v>64</v>
      </c>
      <c r="G15" s="18" t="s">
        <v>65</v>
      </c>
      <c r="H15" s="48" t="s">
        <v>66</v>
      </c>
    </row>
    <row r="16" spans="2:8" x14ac:dyDescent="0.3">
      <c r="B16" s="47" t="s">
        <v>130</v>
      </c>
      <c r="C16" s="9" t="s">
        <v>86</v>
      </c>
      <c r="D16" s="20" t="s">
        <v>0</v>
      </c>
      <c r="E16" s="18" t="s">
        <v>1</v>
      </c>
      <c r="F16" s="18" t="s">
        <v>2</v>
      </c>
      <c r="G16" s="18" t="s">
        <v>3</v>
      </c>
      <c r="H16" s="48" t="s">
        <v>4</v>
      </c>
    </row>
    <row r="17" spans="2:8" ht="43.2" x14ac:dyDescent="0.3">
      <c r="B17" s="47" t="s">
        <v>34</v>
      </c>
      <c r="C17" s="9" t="s">
        <v>89</v>
      </c>
      <c r="D17" s="18" t="s">
        <v>131</v>
      </c>
      <c r="E17" s="20" t="s">
        <v>132</v>
      </c>
      <c r="F17" s="18" t="s">
        <v>133</v>
      </c>
      <c r="G17" s="20" t="s">
        <v>134</v>
      </c>
      <c r="H17" s="52" t="s">
        <v>135</v>
      </c>
    </row>
    <row r="18" spans="2:8" x14ac:dyDescent="0.3">
      <c r="B18" s="47" t="s">
        <v>42</v>
      </c>
      <c r="C18" s="9" t="s">
        <v>85</v>
      </c>
      <c r="D18" s="18" t="s">
        <v>54</v>
      </c>
      <c r="E18" s="18" t="s">
        <v>54</v>
      </c>
      <c r="F18" s="18" t="s">
        <v>55</v>
      </c>
      <c r="G18" s="18" t="s">
        <v>56</v>
      </c>
      <c r="H18" s="48" t="s">
        <v>56</v>
      </c>
    </row>
    <row r="19" spans="2:8" x14ac:dyDescent="0.3">
      <c r="B19" s="47" t="s">
        <v>40</v>
      </c>
      <c r="C19" s="9" t="s">
        <v>94</v>
      </c>
      <c r="D19" s="18" t="s">
        <v>44</v>
      </c>
      <c r="E19" s="18" t="s">
        <v>45</v>
      </c>
      <c r="F19" s="18" t="s">
        <v>46</v>
      </c>
      <c r="G19" s="18" t="s">
        <v>48</v>
      </c>
      <c r="H19" s="48" t="s">
        <v>47</v>
      </c>
    </row>
    <row r="21" spans="2:8" ht="28.8" x14ac:dyDescent="0.3">
      <c r="B21" s="57" t="s">
        <v>169</v>
      </c>
    </row>
    <row r="22" spans="2:8" x14ac:dyDescent="0.3">
      <c r="B22" s="40" t="s">
        <v>79</v>
      </c>
      <c r="C22" s="41"/>
      <c r="D22" s="41"/>
      <c r="E22" s="41"/>
      <c r="F22" s="41"/>
      <c r="G22" s="41"/>
      <c r="H22" s="42"/>
    </row>
    <row r="23" spans="2:8" ht="28.8" x14ac:dyDescent="0.3">
      <c r="B23" s="43" t="s">
        <v>167</v>
      </c>
      <c r="C23" s="44" t="s">
        <v>168</v>
      </c>
      <c r="D23" s="45" t="s">
        <v>95</v>
      </c>
      <c r="E23" s="45" t="s">
        <v>17</v>
      </c>
      <c r="F23" s="45" t="s">
        <v>2</v>
      </c>
      <c r="G23" s="45" t="s">
        <v>18</v>
      </c>
      <c r="H23" s="46" t="s">
        <v>96</v>
      </c>
    </row>
    <row r="24" spans="2:8" x14ac:dyDescent="0.3">
      <c r="B24" s="47" t="s">
        <v>37</v>
      </c>
      <c r="C24" s="9" t="s">
        <v>92</v>
      </c>
      <c r="D24" s="53">
        <v>1</v>
      </c>
      <c r="E24" s="53">
        <v>3</v>
      </c>
      <c r="F24" s="53">
        <v>5</v>
      </c>
      <c r="G24" s="53">
        <v>7</v>
      </c>
      <c r="H24" s="55">
        <v>9</v>
      </c>
    </row>
    <row r="25" spans="2:8" x14ac:dyDescent="0.3">
      <c r="B25" s="47" t="s">
        <v>137</v>
      </c>
      <c r="C25" s="9" t="s">
        <v>80</v>
      </c>
      <c r="D25" s="53">
        <v>1</v>
      </c>
      <c r="E25" s="53">
        <v>2</v>
      </c>
      <c r="F25" s="53">
        <v>3</v>
      </c>
      <c r="G25" s="53">
        <v>4</v>
      </c>
      <c r="H25" s="55">
        <v>5</v>
      </c>
    </row>
    <row r="26" spans="2:8" x14ac:dyDescent="0.3">
      <c r="B26" s="47" t="s">
        <v>43</v>
      </c>
      <c r="C26" s="9" t="s">
        <v>82</v>
      </c>
      <c r="D26" s="53">
        <v>1</v>
      </c>
      <c r="E26" s="53">
        <v>2</v>
      </c>
      <c r="F26" s="53">
        <v>3</v>
      </c>
      <c r="G26" s="53">
        <v>4</v>
      </c>
      <c r="H26" s="55">
        <v>5</v>
      </c>
    </row>
    <row r="27" spans="2:8" x14ac:dyDescent="0.3">
      <c r="B27" s="47" t="s">
        <v>36</v>
      </c>
      <c r="C27" s="9" t="s">
        <v>81</v>
      </c>
      <c r="D27" s="53">
        <v>1</v>
      </c>
      <c r="E27" s="53">
        <v>3</v>
      </c>
      <c r="F27" s="53">
        <v>5</v>
      </c>
      <c r="G27" s="53">
        <v>7</v>
      </c>
      <c r="H27" s="55">
        <v>9</v>
      </c>
    </row>
    <row r="28" spans="2:8" x14ac:dyDescent="0.3">
      <c r="B28" s="47" t="s">
        <v>39</v>
      </c>
      <c r="C28" s="9" t="s">
        <v>93</v>
      </c>
      <c r="D28" s="54">
        <v>9</v>
      </c>
      <c r="E28" s="54">
        <v>7</v>
      </c>
      <c r="F28" s="54">
        <v>5</v>
      </c>
      <c r="G28" s="54">
        <v>3</v>
      </c>
      <c r="H28" s="56">
        <v>1</v>
      </c>
    </row>
    <row r="29" spans="2:8" x14ac:dyDescent="0.3">
      <c r="B29" s="47" t="s">
        <v>32</v>
      </c>
      <c r="C29" s="9" t="s">
        <v>90</v>
      </c>
      <c r="D29" s="54">
        <v>5</v>
      </c>
      <c r="E29" s="54">
        <v>4</v>
      </c>
      <c r="F29" s="54">
        <v>3</v>
      </c>
      <c r="G29" s="54">
        <v>2</v>
      </c>
      <c r="H29" s="56">
        <v>1</v>
      </c>
    </row>
    <row r="30" spans="2:8" x14ac:dyDescent="0.3">
      <c r="B30" s="47" t="s">
        <v>41</v>
      </c>
      <c r="C30" s="17" t="s">
        <v>91</v>
      </c>
      <c r="D30" s="53">
        <v>1</v>
      </c>
      <c r="E30" s="53">
        <v>3</v>
      </c>
      <c r="F30" s="53">
        <v>5</v>
      </c>
      <c r="G30" s="53">
        <v>7</v>
      </c>
      <c r="H30" s="55">
        <v>9</v>
      </c>
    </row>
    <row r="31" spans="2:8" x14ac:dyDescent="0.3">
      <c r="B31" s="47" t="s">
        <v>33</v>
      </c>
      <c r="C31" s="9" t="s">
        <v>87</v>
      </c>
      <c r="D31" s="54">
        <v>5</v>
      </c>
      <c r="E31" s="54">
        <v>4</v>
      </c>
      <c r="F31" s="54">
        <v>3</v>
      </c>
      <c r="G31" s="54">
        <v>2</v>
      </c>
      <c r="H31" s="56">
        <v>1</v>
      </c>
    </row>
    <row r="32" spans="2:8" x14ac:dyDescent="0.3">
      <c r="B32" s="47" t="s">
        <v>35</v>
      </c>
      <c r="C32" s="9" t="s">
        <v>88</v>
      </c>
      <c r="D32" s="54">
        <v>9</v>
      </c>
      <c r="E32" s="54">
        <v>7</v>
      </c>
      <c r="F32" s="54">
        <v>7</v>
      </c>
      <c r="G32" s="54">
        <v>3</v>
      </c>
      <c r="H32" s="56">
        <v>1</v>
      </c>
    </row>
    <row r="33" spans="2:8" x14ac:dyDescent="0.3">
      <c r="B33" s="47" t="s">
        <v>38</v>
      </c>
      <c r="C33" s="9" t="s">
        <v>83</v>
      </c>
      <c r="D33" s="53">
        <v>9</v>
      </c>
      <c r="E33" s="53">
        <v>7</v>
      </c>
      <c r="F33" s="53">
        <v>5</v>
      </c>
      <c r="G33" s="53">
        <v>3</v>
      </c>
      <c r="H33" s="55">
        <v>1</v>
      </c>
    </row>
    <row r="34" spans="2:8" ht="28.8" x14ac:dyDescent="0.3">
      <c r="B34" s="47" t="s">
        <v>136</v>
      </c>
      <c r="C34" s="9" t="s">
        <v>84</v>
      </c>
      <c r="D34" s="53">
        <v>5</v>
      </c>
      <c r="E34" s="53">
        <v>4</v>
      </c>
      <c r="F34" s="53">
        <v>3</v>
      </c>
      <c r="G34" s="53">
        <v>2</v>
      </c>
      <c r="H34" s="55">
        <v>1</v>
      </c>
    </row>
    <row r="35" spans="2:8" x14ac:dyDescent="0.3">
      <c r="B35" s="47" t="s">
        <v>130</v>
      </c>
      <c r="C35" s="9" t="s">
        <v>86</v>
      </c>
      <c r="D35" s="53">
        <v>1</v>
      </c>
      <c r="E35" s="53">
        <v>3</v>
      </c>
      <c r="F35" s="53">
        <v>5</v>
      </c>
      <c r="G35" s="53">
        <v>7</v>
      </c>
      <c r="H35" s="55">
        <v>9</v>
      </c>
    </row>
    <row r="36" spans="2:8" x14ac:dyDescent="0.3">
      <c r="B36" s="47" t="s">
        <v>34</v>
      </c>
      <c r="C36" s="9" t="s">
        <v>89</v>
      </c>
      <c r="D36" s="53">
        <v>5</v>
      </c>
      <c r="E36" s="53">
        <v>4</v>
      </c>
      <c r="F36" s="53">
        <v>3</v>
      </c>
      <c r="G36" s="53">
        <v>2</v>
      </c>
      <c r="H36" s="55">
        <v>1</v>
      </c>
    </row>
    <row r="37" spans="2:8" x14ac:dyDescent="0.3">
      <c r="B37" s="47" t="s">
        <v>42</v>
      </c>
      <c r="C37" s="9" t="s">
        <v>85</v>
      </c>
      <c r="D37" s="53">
        <v>3</v>
      </c>
      <c r="E37" s="53">
        <v>3</v>
      </c>
      <c r="F37" s="53">
        <v>2</v>
      </c>
      <c r="G37" s="53">
        <v>1</v>
      </c>
      <c r="H37" s="55">
        <v>1</v>
      </c>
    </row>
    <row r="38" spans="2:8" x14ac:dyDescent="0.3">
      <c r="B38" s="47" t="s">
        <v>40</v>
      </c>
      <c r="C38" s="9" t="s">
        <v>94</v>
      </c>
      <c r="D38" s="53">
        <v>1</v>
      </c>
      <c r="E38" s="53">
        <v>2</v>
      </c>
      <c r="F38" s="53">
        <v>3</v>
      </c>
      <c r="G38" s="53">
        <v>4</v>
      </c>
      <c r="H38" s="55">
        <v>5</v>
      </c>
    </row>
  </sheetData>
  <sortState xmlns:xlrd2="http://schemas.microsoft.com/office/spreadsheetml/2017/richdata2" ref="B1:B16">
    <sortCondition ref="B1:B16"/>
  </sortState>
  <mergeCells count="2">
    <mergeCell ref="B3:H3"/>
    <mergeCell ref="B22:H2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1187-7CB3-40B2-86D8-B11564DF0ADA}">
  <dimension ref="A1:A39"/>
  <sheetViews>
    <sheetView workbookViewId="0">
      <selection activeCell="F25" sqref="F25"/>
    </sheetView>
  </sheetViews>
  <sheetFormatPr defaultRowHeight="14.4" x14ac:dyDescent="0.3"/>
  <cols>
    <col min="1" max="1" width="71.44140625" bestFit="1" customWidth="1"/>
  </cols>
  <sheetData>
    <row r="1" spans="1:1" x14ac:dyDescent="0.3">
      <c r="A1" s="15" t="s">
        <v>97</v>
      </c>
    </row>
    <row r="2" spans="1:1" x14ac:dyDescent="0.3">
      <c r="A2" t="s">
        <v>98</v>
      </c>
    </row>
    <row r="3" spans="1:1" x14ac:dyDescent="0.3">
      <c r="A3" t="s">
        <v>99</v>
      </c>
    </row>
    <row r="4" spans="1:1" x14ac:dyDescent="0.3">
      <c r="A4" t="s">
        <v>100</v>
      </c>
    </row>
    <row r="5" spans="1:1" x14ac:dyDescent="0.3">
      <c r="A5" t="s">
        <v>101</v>
      </c>
    </row>
    <row r="6" spans="1:1" x14ac:dyDescent="0.3">
      <c r="A6" t="s">
        <v>102</v>
      </c>
    </row>
    <row r="7" spans="1:1" x14ac:dyDescent="0.3">
      <c r="A7" t="s">
        <v>103</v>
      </c>
    </row>
    <row r="8" spans="1:1" x14ac:dyDescent="0.3">
      <c r="A8" t="s">
        <v>104</v>
      </c>
    </row>
    <row r="9" spans="1:1" x14ac:dyDescent="0.3">
      <c r="A9" t="s">
        <v>105</v>
      </c>
    </row>
    <row r="10" spans="1:1" x14ac:dyDescent="0.3">
      <c r="A10" t="s">
        <v>106</v>
      </c>
    </row>
    <row r="12" spans="1:1" x14ac:dyDescent="0.3">
      <c r="A12" s="15" t="s">
        <v>161</v>
      </c>
    </row>
    <row r="13" spans="1:1" x14ac:dyDescent="0.3">
      <c r="A13" t="s">
        <v>107</v>
      </c>
    </row>
    <row r="14" spans="1:1" x14ac:dyDescent="0.3">
      <c r="A14" t="s">
        <v>108</v>
      </c>
    </row>
    <row r="15" spans="1:1" x14ac:dyDescent="0.3">
      <c r="A15" t="s">
        <v>109</v>
      </c>
    </row>
    <row r="16" spans="1:1" x14ac:dyDescent="0.3">
      <c r="A16" t="s">
        <v>110</v>
      </c>
    </row>
    <row r="17" spans="1:1" x14ac:dyDescent="0.3">
      <c r="A17" t="s">
        <v>150</v>
      </c>
    </row>
    <row r="18" spans="1:1" x14ac:dyDescent="0.3">
      <c r="A18" t="s">
        <v>111</v>
      </c>
    </row>
    <row r="19" spans="1:1" x14ac:dyDescent="0.3">
      <c r="A19" t="s">
        <v>112</v>
      </c>
    </row>
    <row r="20" spans="1:1" x14ac:dyDescent="0.3">
      <c r="A20" t="s">
        <v>113</v>
      </c>
    </row>
    <row r="22" spans="1:1" x14ac:dyDescent="0.3">
      <c r="A22" s="15" t="s">
        <v>166</v>
      </c>
    </row>
    <row r="23" spans="1:1" x14ac:dyDescent="0.3">
      <c r="A23" t="s">
        <v>114</v>
      </c>
    </row>
    <row r="24" spans="1:1" x14ac:dyDescent="0.3">
      <c r="A24" t="s">
        <v>115</v>
      </c>
    </row>
    <row r="25" spans="1:1" x14ac:dyDescent="0.3">
      <c r="A25" t="s">
        <v>116</v>
      </c>
    </row>
    <row r="26" spans="1:1" x14ac:dyDescent="0.3">
      <c r="A26" t="s">
        <v>117</v>
      </c>
    </row>
    <row r="27" spans="1:1" x14ac:dyDescent="0.3">
      <c r="A27" t="s">
        <v>118</v>
      </c>
    </row>
    <row r="28" spans="1:1" x14ac:dyDescent="0.3">
      <c r="A28" t="s">
        <v>119</v>
      </c>
    </row>
    <row r="29" spans="1:1" x14ac:dyDescent="0.3">
      <c r="A29" t="s">
        <v>120</v>
      </c>
    </row>
    <row r="30" spans="1:1" x14ac:dyDescent="0.3">
      <c r="A30" t="s">
        <v>121</v>
      </c>
    </row>
    <row r="31" spans="1:1" x14ac:dyDescent="0.3">
      <c r="A31" t="s">
        <v>122</v>
      </c>
    </row>
    <row r="33" spans="1:1" x14ac:dyDescent="0.3">
      <c r="A33" s="15" t="s">
        <v>123</v>
      </c>
    </row>
    <row r="34" spans="1:1" x14ac:dyDescent="0.3">
      <c r="A34" t="s">
        <v>124</v>
      </c>
    </row>
    <row r="35" spans="1:1" x14ac:dyDescent="0.3">
      <c r="A35" t="s">
        <v>125</v>
      </c>
    </row>
    <row r="36" spans="1:1" x14ac:dyDescent="0.3">
      <c r="A36" t="s">
        <v>126</v>
      </c>
    </row>
    <row r="37" spans="1:1" x14ac:dyDescent="0.3">
      <c r="A37" t="s">
        <v>127</v>
      </c>
    </row>
    <row r="38" spans="1:1" x14ac:dyDescent="0.3">
      <c r="A38" t="s">
        <v>128</v>
      </c>
    </row>
    <row r="39" spans="1:1" x14ac:dyDescent="0.3">
      <c r="A39" t="s">
        <v>129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1EA0-9BF9-4DD4-B87E-295B284DC508}">
  <dimension ref="B1:Y16"/>
  <sheetViews>
    <sheetView topLeftCell="C1" workbookViewId="0">
      <selection activeCell="Y19" sqref="Y19"/>
    </sheetView>
  </sheetViews>
  <sheetFormatPr defaultRowHeight="14.4" x14ac:dyDescent="0.3"/>
  <cols>
    <col min="1" max="1" width="2.6640625" customWidth="1"/>
    <col min="2" max="2" width="52.33203125" customWidth="1"/>
    <col min="3" max="4" width="6" customWidth="1"/>
    <col min="5" max="19" width="12.109375" customWidth="1"/>
    <col min="20" max="21" width="15.109375" customWidth="1"/>
    <col min="22" max="22" width="11.44140625" bestFit="1" customWidth="1"/>
    <col min="23" max="23" width="15.33203125" customWidth="1"/>
    <col min="24" max="24" width="12" customWidth="1"/>
    <col min="25" max="25" width="10.88671875" customWidth="1"/>
  </cols>
  <sheetData>
    <row r="1" spans="2:25" x14ac:dyDescent="0.3">
      <c r="B1" t="s">
        <v>162</v>
      </c>
      <c r="E1" s="26" t="s">
        <v>145</v>
      </c>
      <c r="F1" s="26" t="s">
        <v>151</v>
      </c>
      <c r="G1" s="26" t="s">
        <v>151</v>
      </c>
      <c r="H1" s="26" t="s">
        <v>145</v>
      </c>
      <c r="I1" s="26" t="s">
        <v>144</v>
      </c>
      <c r="J1" s="26" t="s">
        <v>146</v>
      </c>
      <c r="K1" s="26" t="s">
        <v>145</v>
      </c>
      <c r="L1" s="26" t="s">
        <v>146</v>
      </c>
      <c r="M1" s="26" t="s">
        <v>144</v>
      </c>
      <c r="N1" s="26" t="s">
        <v>144</v>
      </c>
      <c r="O1" s="26" t="s">
        <v>146</v>
      </c>
      <c r="P1" s="26" t="s">
        <v>145</v>
      </c>
      <c r="Q1" s="26" t="s">
        <v>146</v>
      </c>
      <c r="R1" s="26" t="s">
        <v>147</v>
      </c>
      <c r="S1" s="26" t="s">
        <v>151</v>
      </c>
    </row>
    <row r="2" spans="2:25" ht="72" x14ac:dyDescent="0.3">
      <c r="B2" s="23" t="s">
        <v>163</v>
      </c>
      <c r="C2" s="23"/>
      <c r="D2" s="23"/>
      <c r="E2" s="24" t="s">
        <v>37</v>
      </c>
      <c r="F2" s="24" t="s">
        <v>137</v>
      </c>
      <c r="G2" s="24" t="s">
        <v>43</v>
      </c>
      <c r="H2" s="24" t="s">
        <v>36</v>
      </c>
      <c r="I2" s="24" t="s">
        <v>39</v>
      </c>
      <c r="J2" s="24" t="s">
        <v>32</v>
      </c>
      <c r="K2" s="24" t="s">
        <v>41</v>
      </c>
      <c r="L2" s="24" t="s">
        <v>33</v>
      </c>
      <c r="M2" s="24" t="s">
        <v>35</v>
      </c>
      <c r="N2" s="24" t="s">
        <v>38</v>
      </c>
      <c r="O2" s="24" t="s">
        <v>143</v>
      </c>
      <c r="P2" s="24" t="s">
        <v>130</v>
      </c>
      <c r="Q2" s="24" t="s">
        <v>34</v>
      </c>
      <c r="R2" s="24" t="s">
        <v>42</v>
      </c>
      <c r="S2" s="24" t="s">
        <v>40</v>
      </c>
      <c r="T2" s="37" t="s">
        <v>74</v>
      </c>
      <c r="U2" s="37"/>
      <c r="V2" s="37"/>
      <c r="W2" s="37"/>
      <c r="X2" s="39" t="s">
        <v>20</v>
      </c>
      <c r="Y2" s="39"/>
    </row>
    <row r="3" spans="2:25" ht="43.2" x14ac:dyDescent="0.3">
      <c r="B3" s="23" t="s">
        <v>164</v>
      </c>
      <c r="C3" s="23" t="s">
        <v>148</v>
      </c>
      <c r="D3" s="23" t="s">
        <v>149</v>
      </c>
      <c r="E3" s="25" t="s">
        <v>92</v>
      </c>
      <c r="F3" s="25" t="s">
        <v>80</v>
      </c>
      <c r="G3" s="25" t="s">
        <v>82</v>
      </c>
      <c r="H3" s="25" t="s">
        <v>81</v>
      </c>
      <c r="I3" s="25" t="s">
        <v>93</v>
      </c>
      <c r="J3" s="25" t="s">
        <v>90</v>
      </c>
      <c r="K3" s="25" t="s">
        <v>91</v>
      </c>
      <c r="L3" s="25" t="s">
        <v>87</v>
      </c>
      <c r="M3" s="25" t="s">
        <v>88</v>
      </c>
      <c r="N3" s="25" t="s">
        <v>83</v>
      </c>
      <c r="O3" s="25" t="s">
        <v>84</v>
      </c>
      <c r="P3" s="25" t="s">
        <v>86</v>
      </c>
      <c r="Q3" s="25" t="s">
        <v>89</v>
      </c>
      <c r="R3" s="25" t="s">
        <v>85</v>
      </c>
      <c r="S3" s="25" t="s">
        <v>94</v>
      </c>
      <c r="T3" s="3" t="s">
        <v>75</v>
      </c>
      <c r="U3" s="3" t="s">
        <v>76</v>
      </c>
      <c r="V3" s="3" t="s">
        <v>77</v>
      </c>
      <c r="W3" s="3" t="s">
        <v>71</v>
      </c>
      <c r="X3" s="4" t="s">
        <v>21</v>
      </c>
      <c r="Y3" s="4" t="s">
        <v>72</v>
      </c>
    </row>
    <row r="4" spans="2:25" x14ac:dyDescent="0.3">
      <c r="B4" s="23" t="s">
        <v>165</v>
      </c>
      <c r="C4" s="23"/>
      <c r="D4" s="23"/>
      <c r="E4" s="31">
        <v>7</v>
      </c>
      <c r="F4" s="31">
        <v>4</v>
      </c>
      <c r="G4" s="31">
        <v>4</v>
      </c>
      <c r="H4" s="31">
        <v>5</v>
      </c>
      <c r="I4" s="31">
        <v>4</v>
      </c>
      <c r="J4" s="31">
        <v>4</v>
      </c>
      <c r="K4" s="31">
        <v>7</v>
      </c>
      <c r="L4" s="31">
        <v>3</v>
      </c>
      <c r="M4" s="31">
        <v>4</v>
      </c>
      <c r="N4" s="31">
        <v>3</v>
      </c>
      <c r="O4" s="31">
        <v>2</v>
      </c>
      <c r="P4" s="31">
        <v>6</v>
      </c>
      <c r="Q4" s="31">
        <v>3</v>
      </c>
      <c r="R4" s="31">
        <v>3</v>
      </c>
      <c r="S4" s="31">
        <v>3</v>
      </c>
    </row>
    <row r="5" spans="2:25" ht="3.6" customHeight="1" x14ac:dyDescent="0.3"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2:25" x14ac:dyDescent="0.3">
      <c r="B6" s="9" t="s">
        <v>31</v>
      </c>
      <c r="C6" s="28">
        <v>9.1999999999999998E-2</v>
      </c>
      <c r="D6" s="28">
        <v>2.1999999999999999E-2</v>
      </c>
      <c r="E6" s="5"/>
      <c r="F6" s="33">
        <f>-0.00161141821859803*cad</f>
        <v>-6.4456728743921199E-3</v>
      </c>
      <c r="G6" s="33">
        <f>-0.011602211180537*comm</f>
        <v>-4.6408844722147999E-2</v>
      </c>
      <c r="H6" s="33">
        <f>-0.00214318623196264*constr</f>
        <v>-1.0715931159813201E-2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>
        <v>9.1999999999999998E-2</v>
      </c>
      <c r="U6" s="6">
        <v>2.1999999999999999E-2</v>
      </c>
      <c r="V6" s="34">
        <f>0.107356808035513+SUM(E6:S6)</f>
        <v>4.3786359279159678E-2</v>
      </c>
      <c r="W6" s="7">
        <f>IF(V6="","",IF(V6&gt;=T6,0,IF(V6&lt;=U6,1,-14.29*V6+1.31)))</f>
        <v>0.68429292590080826</v>
      </c>
      <c r="X6" s="8">
        <v>6.9000000000000006E-2</v>
      </c>
      <c r="Y6" s="8">
        <f>IF(W6*X6=0,"",W6*X6)</f>
        <v>4.7216211887155773E-2</v>
      </c>
    </row>
    <row r="7" spans="2:25" ht="28.8" x14ac:dyDescent="0.3">
      <c r="B7" s="9" t="s">
        <v>23</v>
      </c>
      <c r="C7" s="22">
        <v>1</v>
      </c>
      <c r="D7" s="22">
        <v>5</v>
      </c>
      <c r="E7" s="5"/>
      <c r="F7" s="5"/>
      <c r="G7" s="5"/>
      <c r="H7" s="5"/>
      <c r="I7" s="5"/>
      <c r="J7" s="5"/>
      <c r="K7" s="5"/>
      <c r="L7" s="5"/>
      <c r="M7" s="5"/>
      <c r="N7" s="27">
        <f>-0.0621118072293835*size</f>
        <v>-0.18633542168815051</v>
      </c>
      <c r="O7" s="27">
        <f>-0.304347855426318*resize</f>
        <v>-0.60869571085263596</v>
      </c>
      <c r="P7" s="27">
        <f>0.192546602412661*scope</f>
        <v>1.1552796144759661</v>
      </c>
      <c r="Q7" s="5"/>
      <c r="R7" s="27">
        <f>-0.372670843379371*split</f>
        <v>-1.118012530138113</v>
      </c>
      <c r="S7" s="5"/>
      <c r="T7" s="9">
        <v>2</v>
      </c>
      <c r="U7" s="9">
        <v>4</v>
      </c>
      <c r="V7" s="30">
        <f>4.00621108314264+SUM(E7:S7)</f>
        <v>3.2484470349397063</v>
      </c>
      <c r="W7" s="7">
        <f>IF(V7="","",IF(V7&lt;=T7,0,IF(V7&gt;=U7,1,0.5*V7-1)))</f>
        <v>0.62422351746985316</v>
      </c>
      <c r="X7" s="8">
        <v>0.11700000000000001</v>
      </c>
      <c r="Y7" s="8">
        <f t="shared" ref="Y7:Y15" si="0">IF(W7*X7=0,"",W7*X7)</f>
        <v>7.3034151543972831E-2</v>
      </c>
    </row>
    <row r="8" spans="2:25" ht="28.8" x14ac:dyDescent="0.3">
      <c r="B8" s="9" t="s">
        <v>24</v>
      </c>
      <c r="C8" s="29">
        <v>0.16</v>
      </c>
      <c r="D8" s="28">
        <v>5.1999999999999998E-2</v>
      </c>
      <c r="E8" s="5"/>
      <c r="F8" s="5"/>
      <c r="G8" s="5"/>
      <c r="H8" s="5"/>
      <c r="I8" s="5"/>
      <c r="J8" s="5"/>
      <c r="K8" s="5"/>
      <c r="L8" s="5"/>
      <c r="M8" s="5"/>
      <c r="N8" s="27">
        <f>0.00551020419282963*size</f>
        <v>1.6530612578488889E-2</v>
      </c>
      <c r="O8" s="5"/>
      <c r="P8" s="5"/>
      <c r="Q8" s="27">
        <f>0.0159795921529026*site</f>
        <v>4.7938776458707803E-2</v>
      </c>
      <c r="R8" s="5"/>
      <c r="S8" s="5"/>
      <c r="T8" s="12">
        <v>0.16</v>
      </c>
      <c r="U8" s="6">
        <v>5.1999999999999998E-2</v>
      </c>
      <c r="V8" s="34">
        <f>0.0305102015463591+SUM(E8:S8)</f>
        <v>9.497959058355579E-2</v>
      </c>
      <c r="W8" s="7">
        <f>IF(V8="","",IF(V8&gt;=T8,0,IF(V8&lt;=U8,1,-9.26*V8+1.48)))</f>
        <v>0.60048899119627341</v>
      </c>
      <c r="X8" s="8">
        <v>9.9000000000000005E-2</v>
      </c>
      <c r="Y8" s="8">
        <f t="shared" si="0"/>
        <v>5.9448410128431071E-2</v>
      </c>
    </row>
    <row r="9" spans="2:25" ht="28.8" x14ac:dyDescent="0.3">
      <c r="B9" s="9" t="s">
        <v>22</v>
      </c>
      <c r="C9" s="29">
        <v>0.19</v>
      </c>
      <c r="D9" s="29">
        <v>0.06</v>
      </c>
      <c r="E9" s="5"/>
      <c r="F9" s="5"/>
      <c r="G9" s="5"/>
      <c r="H9" s="5"/>
      <c r="I9" s="5"/>
      <c r="J9" s="5"/>
      <c r="K9" s="27">
        <f>-0.0122226395948545*qualifi</f>
        <v>-8.5558477163981489E-2</v>
      </c>
      <c r="L9" s="27">
        <f>0.00805471948852402*owner</f>
        <v>2.4164158465572058E-2</v>
      </c>
      <c r="M9" s="5"/>
      <c r="N9" s="5"/>
      <c r="O9" s="5"/>
      <c r="P9" s="5"/>
      <c r="Q9" s="5"/>
      <c r="R9" s="5"/>
      <c r="S9" s="5"/>
      <c r="T9" s="12">
        <v>0.19</v>
      </c>
      <c r="U9" s="12">
        <v>0.06</v>
      </c>
      <c r="V9" s="34">
        <f>0.161949040461125+SUM(E9:S9)</f>
        <v>0.10055472176271556</v>
      </c>
      <c r="W9" s="7">
        <f>IF(V9="","",IF(V9&gt;=T9,0,IF(V9&lt;=U9,1,-7.69*V9+1.46)))</f>
        <v>0.68673418964471733</v>
      </c>
      <c r="X9" s="8">
        <v>3.3000000000000002E-2</v>
      </c>
      <c r="Y9" s="8">
        <f t="shared" si="0"/>
        <v>2.2662228258275671E-2</v>
      </c>
    </row>
    <row r="10" spans="2:25" ht="43.2" x14ac:dyDescent="0.3">
      <c r="B10" s="9" t="s">
        <v>25</v>
      </c>
      <c r="C10" s="29">
        <v>0.08</v>
      </c>
      <c r="D10" s="28">
        <v>2.8000000000000001E-2</v>
      </c>
      <c r="E10" s="5"/>
      <c r="F10" s="5"/>
      <c r="G10" s="5"/>
      <c r="H10" s="27">
        <f>-0.00257425767348892*constr</f>
        <v>-1.2871288367444601E-2</v>
      </c>
      <c r="I10" s="5"/>
      <c r="J10" s="27">
        <f>0.0046336638118405*designer</f>
        <v>1.8534655247362E-2</v>
      </c>
      <c r="K10" s="5"/>
      <c r="L10" s="5"/>
      <c r="M10" s="5"/>
      <c r="N10" s="5"/>
      <c r="O10" s="5"/>
      <c r="P10" s="5"/>
      <c r="Q10" s="27">
        <f>0.00321782209155232*site</f>
        <v>9.6534662746569598E-3</v>
      </c>
      <c r="R10" s="5"/>
      <c r="S10" s="5"/>
      <c r="T10" s="12">
        <v>0.08</v>
      </c>
      <c r="U10" s="6">
        <v>2.8000000000000001E-2</v>
      </c>
      <c r="V10" s="34">
        <f>0.0433168368415102+SUM(E10:S10)</f>
        <v>5.8633669996084561E-2</v>
      </c>
      <c r="W10" s="7">
        <f>IF(V10="","",IF(V10&gt;=T10,0,IF(V10&lt;=U10,1,-19.23*V10+1.54)))</f>
        <v>0.41247452597529399</v>
      </c>
      <c r="X10" s="8">
        <v>0.19600000000000001</v>
      </c>
      <c r="Y10" s="8">
        <f t="shared" si="0"/>
        <v>8.084500709115762E-2</v>
      </c>
    </row>
    <row r="11" spans="2:25" ht="43.2" x14ac:dyDescent="0.3">
      <c r="B11" s="9" t="s">
        <v>26</v>
      </c>
      <c r="C11" s="28">
        <v>5.8000000000000003E-2</v>
      </c>
      <c r="D11" s="28">
        <v>1.7999999999999999E-2</v>
      </c>
      <c r="E11" s="5"/>
      <c r="F11" s="5"/>
      <c r="G11" s="5"/>
      <c r="H11" s="27">
        <f>-0.00333334321242971*constr</f>
        <v>-1.6666716062148548E-2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27">
        <f>-0.00333334321237867*id</f>
        <v>-1.0000029637136011E-2</v>
      </c>
      <c r="T11" s="6">
        <v>5.8000000000000003E-2</v>
      </c>
      <c r="U11" s="6">
        <v>1.7999999999999999E-2</v>
      </c>
      <c r="V11" s="34">
        <f>0.0646667490135797+SUM(E11:S11)</f>
        <v>3.8000003314295143E-2</v>
      </c>
      <c r="W11" s="7">
        <f>IF(V11="","",IF(V11&gt;=T11,0,IF(V11&lt;=U11,1,-25*V11+1.45)))</f>
        <v>0.49999991714262138</v>
      </c>
      <c r="X11" s="8">
        <v>0.11</v>
      </c>
      <c r="Y11" s="8">
        <f t="shared" si="0"/>
        <v>5.4999990885688355E-2</v>
      </c>
    </row>
    <row r="12" spans="2:25" ht="43.2" x14ac:dyDescent="0.3">
      <c r="B12" s="9" t="s">
        <v>27</v>
      </c>
      <c r="C12" s="22">
        <v>5</v>
      </c>
      <c r="D12" s="22">
        <v>1</v>
      </c>
      <c r="E12" s="5"/>
      <c r="F12" s="5"/>
      <c r="G12" s="5"/>
      <c r="H12" s="27">
        <f>-0.0581393456630032*constr</f>
        <v>-0.29069672831501603</v>
      </c>
      <c r="I12" s="27">
        <f>0.441860651274641*overlap</f>
        <v>1.7674426050985641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3</v>
      </c>
      <c r="U12" s="5">
        <v>2</v>
      </c>
      <c r="V12" s="36">
        <f>1.08139347915902+SUM(E12:S12)</f>
        <v>2.5581393559425685</v>
      </c>
      <c r="W12" s="7">
        <f>IF(V12="","",IF(V12&gt;=T12,0,IF(V12&lt;=U12,1,-1*V12+3)))</f>
        <v>0.44186064405743153</v>
      </c>
      <c r="X12" s="8">
        <v>6.2E-2</v>
      </c>
      <c r="Y12" s="8">
        <f t="shared" si="0"/>
        <v>2.7395359931560753E-2</v>
      </c>
    </row>
    <row r="13" spans="2:25" ht="28.8" x14ac:dyDescent="0.3">
      <c r="B13" s="9" t="s">
        <v>28</v>
      </c>
      <c r="C13" s="22">
        <v>1</v>
      </c>
      <c r="D13" s="22">
        <v>5</v>
      </c>
      <c r="E13" s="27">
        <f>0.142045492551712*data</f>
        <v>0.99431844786198398</v>
      </c>
      <c r="F13" s="5"/>
      <c r="G13" s="5"/>
      <c r="H13" s="27">
        <f>0.205965964130104*constr</f>
        <v>1.0298298206505201</v>
      </c>
      <c r="I13" s="5"/>
      <c r="J13" s="5"/>
      <c r="K13" s="5"/>
      <c r="L13" s="5"/>
      <c r="M13" s="27">
        <f>-0.0752841110241822*percent</f>
        <v>-0.30113644409672879</v>
      </c>
      <c r="N13" s="27">
        <f>-0.0767045659636679*size</f>
        <v>-0.23011369789100369</v>
      </c>
      <c r="O13" s="5"/>
      <c r="P13" s="5"/>
      <c r="Q13" s="5"/>
      <c r="R13" s="5"/>
      <c r="S13" s="5"/>
      <c r="T13" s="5">
        <v>2</v>
      </c>
      <c r="U13" s="5">
        <v>4</v>
      </c>
      <c r="V13" s="35">
        <f>2.01988565252688+SUM(E13:S13)</f>
        <v>3.5127837790516514</v>
      </c>
      <c r="W13" s="7">
        <f>IF(V13="","",IF(V13&lt;=T13,0,IF(V13&gt;=U13,1,0.5*V13-1)))</f>
        <v>0.7563918895258257</v>
      </c>
      <c r="X13" s="8">
        <v>0.115</v>
      </c>
      <c r="Y13" s="8">
        <f t="shared" si="0"/>
        <v>8.6985067295469953E-2</v>
      </c>
    </row>
    <row r="14" spans="2:25" ht="43.2" x14ac:dyDescent="0.3">
      <c r="B14" s="9" t="s">
        <v>29</v>
      </c>
      <c r="C14" s="28">
        <v>8.4000000000000005E-2</v>
      </c>
      <c r="D14" s="28">
        <v>3.5999999999999997E-2</v>
      </c>
      <c r="E14" s="5"/>
      <c r="F14" s="5"/>
      <c r="G14" s="5"/>
      <c r="H14" s="5"/>
      <c r="I14" s="5"/>
      <c r="J14" s="27">
        <f>0.00265122040319936*designer</f>
        <v>1.060488161279744E-2</v>
      </c>
      <c r="K14" s="5"/>
      <c r="L14" s="27">
        <f>0.00503731869577659*owner</f>
        <v>1.5111956087329769E-2</v>
      </c>
      <c r="M14" s="5"/>
      <c r="N14" s="5"/>
      <c r="O14" s="5"/>
      <c r="P14" s="27">
        <f>-0.00127258582043087*scope</f>
        <v>-7.6355149225852204E-3</v>
      </c>
      <c r="Q14" s="27">
        <f>0.00176627533233526*site</f>
        <v>5.2988259970057801E-3</v>
      </c>
      <c r="R14" s="5"/>
      <c r="S14" s="5"/>
      <c r="T14" s="6">
        <v>8.4000000000000005E-2</v>
      </c>
      <c r="U14" s="6">
        <v>3.5999999999999997E-2</v>
      </c>
      <c r="V14" s="34">
        <f>0.0379985133704561+SUM(E14:S14)</f>
        <v>6.1378662145003871E-2</v>
      </c>
      <c r="W14" s="7">
        <f>IF(V14="","",IF(V14&gt;=T14,0,IF(V14&lt;=U14,1,-20.83*V14+1.75)))</f>
        <v>0.47148246751956946</v>
      </c>
      <c r="X14" s="8">
        <v>0.13900000000000001</v>
      </c>
      <c r="Y14" s="8">
        <f t="shared" si="0"/>
        <v>6.5536062985220161E-2</v>
      </c>
    </row>
    <row r="15" spans="2:25" ht="43.2" x14ac:dyDescent="0.3">
      <c r="B15" s="9" t="s">
        <v>30</v>
      </c>
      <c r="C15" s="28">
        <v>6.4000000000000001E-2</v>
      </c>
      <c r="D15" s="28">
        <v>2.1999999999999999E-2</v>
      </c>
      <c r="E15" s="5"/>
      <c r="F15" s="5"/>
      <c r="G15" s="5"/>
      <c r="H15" s="5"/>
      <c r="I15" s="5"/>
      <c r="J15" s="27">
        <f>0.0105001442002487*designer</f>
        <v>4.2000576800994803E-2</v>
      </c>
      <c r="K15" s="5"/>
      <c r="L15" s="5"/>
      <c r="M15" s="5"/>
      <c r="N15" s="5"/>
      <c r="O15" s="5"/>
      <c r="P15" s="5"/>
      <c r="Q15" s="5"/>
      <c r="R15" s="5"/>
      <c r="S15" s="5"/>
      <c r="T15" s="6">
        <v>6.4000000000000001E-2</v>
      </c>
      <c r="U15" s="6">
        <v>2.1999999999999999E-2</v>
      </c>
      <c r="V15" s="34">
        <f>0.0114992925894976+SUM(E15:S15)</f>
        <v>5.3499869390492401E-2</v>
      </c>
      <c r="W15" s="7">
        <f>IF(V15="","",IF(V15&gt;=T15,0,IF(V15&lt;=U15,1,-23.81*V15+1.52)))</f>
        <v>0.24616810981237602</v>
      </c>
      <c r="X15" s="8">
        <v>0.06</v>
      </c>
      <c r="Y15" s="8">
        <f t="shared" si="0"/>
        <v>1.4770086588742562E-2</v>
      </c>
    </row>
    <row r="16" spans="2:25" x14ac:dyDescent="0.3">
      <c r="Y16" s="11">
        <f>SUM(Y6:Y15)</f>
        <v>0.53289257659567479</v>
      </c>
    </row>
  </sheetData>
  <mergeCells count="2">
    <mergeCell ref="T2:W2"/>
    <mergeCell ref="X2:Y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7F3E-A2D7-46F8-84D3-0C054E3FA219}">
  <dimension ref="B2:N15"/>
  <sheetViews>
    <sheetView showGridLines="0" tabSelected="1" topLeftCell="B1" workbookViewId="0">
      <selection activeCell="B3" sqref="B3:H15"/>
    </sheetView>
  </sheetViews>
  <sheetFormatPr defaultRowHeight="14.4" x14ac:dyDescent="0.3"/>
  <cols>
    <col min="2" max="2" width="98.88671875" customWidth="1"/>
    <col min="3" max="3" width="10.5546875" bestFit="1" customWidth="1"/>
    <col min="4" max="8" width="15" customWidth="1"/>
    <col min="9" max="9" width="16" bestFit="1" customWidth="1"/>
    <col min="10" max="10" width="16.5546875" bestFit="1" customWidth="1"/>
    <col min="11" max="11" width="12.88671875" bestFit="1" customWidth="1"/>
    <col min="12" max="12" width="19.5546875" customWidth="1"/>
    <col min="13" max="13" width="10.21875" customWidth="1"/>
    <col min="14" max="14" width="11.33203125" customWidth="1"/>
  </cols>
  <sheetData>
    <row r="2" spans="2:14" x14ac:dyDescent="0.3">
      <c r="B2" s="15"/>
    </row>
    <row r="3" spans="2:14" x14ac:dyDescent="0.3">
      <c r="D3" s="38" t="s">
        <v>69</v>
      </c>
      <c r="E3" s="38"/>
      <c r="F3" s="38"/>
      <c r="G3" s="38"/>
      <c r="H3" s="38"/>
      <c r="I3" s="37" t="s">
        <v>74</v>
      </c>
      <c r="J3" s="37"/>
      <c r="K3" s="37"/>
      <c r="L3" s="37"/>
      <c r="M3" s="39" t="s">
        <v>20</v>
      </c>
      <c r="N3" s="39"/>
    </row>
    <row r="4" spans="2:14" ht="28.8" customHeight="1" x14ac:dyDescent="0.3">
      <c r="B4" s="1" t="s">
        <v>5</v>
      </c>
      <c r="C4" s="16" t="s">
        <v>70</v>
      </c>
      <c r="D4" s="2" t="s">
        <v>16</v>
      </c>
      <c r="E4" s="2" t="s">
        <v>17</v>
      </c>
      <c r="F4" s="2" t="s">
        <v>2</v>
      </c>
      <c r="G4" s="2" t="s">
        <v>18</v>
      </c>
      <c r="H4" s="2" t="s">
        <v>19</v>
      </c>
      <c r="I4" s="3" t="s">
        <v>75</v>
      </c>
      <c r="J4" s="3" t="s">
        <v>76</v>
      </c>
      <c r="K4" s="3" t="s">
        <v>77</v>
      </c>
      <c r="L4" s="3" t="s">
        <v>71</v>
      </c>
      <c r="M4" s="4" t="s">
        <v>21</v>
      </c>
      <c r="N4" s="4" t="s">
        <v>72</v>
      </c>
    </row>
    <row r="5" spans="2:14" x14ac:dyDescent="0.3">
      <c r="B5" s="5" t="s">
        <v>31</v>
      </c>
      <c r="C5" s="5" t="s">
        <v>6</v>
      </c>
      <c r="D5" s="6">
        <v>9.1999999999999998E-2</v>
      </c>
      <c r="E5" s="14">
        <v>7.8E-2</v>
      </c>
      <c r="F5" s="14">
        <v>6.8000000000000005E-2</v>
      </c>
      <c r="G5" s="14">
        <v>4.5999999999999999E-2</v>
      </c>
      <c r="H5" s="6">
        <v>2.1999999999999999E-2</v>
      </c>
      <c r="I5" s="6">
        <v>9.1999999999999998E-2</v>
      </c>
      <c r="J5" s="6">
        <v>2.1999999999999999E-2</v>
      </c>
      <c r="K5" s="6">
        <v>0.03</v>
      </c>
      <c r="L5" s="7">
        <f>IF(K5="","",IF(K5&gt;=I5,0,IF(K5&lt;=J5,1,-14.29*K5+1.31)))</f>
        <v>0.88130000000000008</v>
      </c>
      <c r="M5" s="8">
        <v>6.9000000000000006E-2</v>
      </c>
      <c r="N5" s="8">
        <f>IF(L5*M5=0,"",L5*M5)</f>
        <v>6.0809700000000008E-2</v>
      </c>
    </row>
    <row r="6" spans="2:14" ht="28.8" x14ac:dyDescent="0.3">
      <c r="B6" s="5" t="s">
        <v>23</v>
      </c>
      <c r="C6" s="5" t="s">
        <v>7</v>
      </c>
      <c r="D6" s="22" t="s">
        <v>157</v>
      </c>
      <c r="E6" s="22" t="s">
        <v>158</v>
      </c>
      <c r="F6" s="22" t="s">
        <v>154</v>
      </c>
      <c r="G6" s="22" t="s">
        <v>159</v>
      </c>
      <c r="H6" s="22" t="s">
        <v>160</v>
      </c>
      <c r="I6" s="9">
        <v>2</v>
      </c>
      <c r="J6" s="9">
        <v>4</v>
      </c>
      <c r="K6" s="9">
        <v>3</v>
      </c>
      <c r="L6" s="7">
        <f>IF(K6="","",IF(K6&lt;=I6,0,IF(K6&gt;=J6,1,0.5*K6-1)))</f>
        <v>0.5</v>
      </c>
      <c r="M6" s="8">
        <v>0.11700000000000001</v>
      </c>
      <c r="N6" s="8">
        <f t="shared" ref="N6:N14" si="0">IF(L6*M6=0,"",L6*M6)</f>
        <v>5.8500000000000003E-2</v>
      </c>
    </row>
    <row r="7" spans="2:14" x14ac:dyDescent="0.3">
      <c r="B7" s="5" t="s">
        <v>24</v>
      </c>
      <c r="C7" s="5" t="s">
        <v>10</v>
      </c>
      <c r="D7" s="12">
        <v>0.16</v>
      </c>
      <c r="E7" s="5"/>
      <c r="F7" s="5"/>
      <c r="G7" s="5"/>
      <c r="H7" s="6">
        <v>5.1999999999999998E-2</v>
      </c>
      <c r="I7" s="12">
        <v>0.16</v>
      </c>
      <c r="J7" s="6">
        <v>5.1999999999999998E-2</v>
      </c>
      <c r="K7" s="12">
        <v>0.06</v>
      </c>
      <c r="L7" s="7">
        <f>IF(K7="","",IF(K7&gt;=I7,0,IF(K7&lt;=J7,1,-9.26*K7+1.48)))</f>
        <v>0.9244</v>
      </c>
      <c r="M7" s="8">
        <v>9.9000000000000005E-2</v>
      </c>
      <c r="N7" s="8">
        <f t="shared" si="0"/>
        <v>9.1515600000000003E-2</v>
      </c>
    </row>
    <row r="8" spans="2:14" x14ac:dyDescent="0.3">
      <c r="B8" s="5" t="s">
        <v>22</v>
      </c>
      <c r="C8" s="5" t="s">
        <v>11</v>
      </c>
      <c r="D8" s="12">
        <v>0.19</v>
      </c>
      <c r="E8" s="5"/>
      <c r="F8" s="5"/>
      <c r="G8" s="5"/>
      <c r="H8" s="12">
        <v>0.06</v>
      </c>
      <c r="I8" s="12">
        <v>0.19</v>
      </c>
      <c r="J8" s="12">
        <v>0.06</v>
      </c>
      <c r="K8" s="12">
        <v>0.09</v>
      </c>
      <c r="L8" s="7">
        <f>IF(K8="","",IF(K8&gt;=I8,0,IF(K8&lt;=J8,1,-7.69*K8+1.46)))</f>
        <v>0.76789999999999992</v>
      </c>
      <c r="M8" s="8">
        <v>3.3000000000000002E-2</v>
      </c>
      <c r="N8" s="8">
        <f t="shared" si="0"/>
        <v>2.5340699999999997E-2</v>
      </c>
    </row>
    <row r="9" spans="2:14" x14ac:dyDescent="0.3">
      <c r="B9" s="5" t="s">
        <v>25</v>
      </c>
      <c r="C9" s="5" t="s">
        <v>12</v>
      </c>
      <c r="D9" s="12">
        <v>0.08</v>
      </c>
      <c r="E9" s="5"/>
      <c r="F9" s="5"/>
      <c r="G9" s="5"/>
      <c r="H9" s="6">
        <v>2.8000000000000001E-2</v>
      </c>
      <c r="I9" s="12">
        <v>0.08</v>
      </c>
      <c r="J9" s="6">
        <v>2.8000000000000001E-2</v>
      </c>
      <c r="K9" s="6">
        <v>0.03</v>
      </c>
      <c r="L9" s="7">
        <f>IF(K9="","",IF(K9&gt;=I9,0,IF(K9&lt;=J9,1,-19.23*K9+1.54)))</f>
        <v>0.96310000000000007</v>
      </c>
      <c r="M9" s="8">
        <v>0.19600000000000001</v>
      </c>
      <c r="N9" s="8">
        <f t="shared" si="0"/>
        <v>0.18876760000000001</v>
      </c>
    </row>
    <row r="10" spans="2:14" x14ac:dyDescent="0.3">
      <c r="B10" s="5" t="s">
        <v>26</v>
      </c>
      <c r="C10" s="5" t="s">
        <v>13</v>
      </c>
      <c r="D10" s="6">
        <v>5.8000000000000003E-2</v>
      </c>
      <c r="E10" s="5"/>
      <c r="F10" s="5"/>
      <c r="G10" s="5"/>
      <c r="H10" s="6">
        <v>1.7999999999999999E-2</v>
      </c>
      <c r="I10" s="6">
        <v>5.8000000000000003E-2</v>
      </c>
      <c r="J10" s="6">
        <v>1.7999999999999999E-2</v>
      </c>
      <c r="K10" s="6">
        <v>0.02</v>
      </c>
      <c r="L10" s="7">
        <f>IF(K10="","",IF(K10&gt;=I10,0,IF(K10&lt;=J10,1,-25*K10+1.45)))</f>
        <v>0.95</v>
      </c>
      <c r="M10" s="8">
        <v>0.11</v>
      </c>
      <c r="N10" s="8">
        <f t="shared" si="0"/>
        <v>0.1045</v>
      </c>
    </row>
    <row r="11" spans="2:14" x14ac:dyDescent="0.3">
      <c r="B11" s="5" t="s">
        <v>27</v>
      </c>
      <c r="C11" s="5" t="s">
        <v>14</v>
      </c>
      <c r="D11" s="32" t="s">
        <v>156</v>
      </c>
      <c r="E11" s="32" t="s">
        <v>155</v>
      </c>
      <c r="F11" s="32" t="s">
        <v>154</v>
      </c>
      <c r="G11" s="32" t="s">
        <v>153</v>
      </c>
      <c r="H11" s="32" t="s">
        <v>152</v>
      </c>
      <c r="I11" s="5">
        <v>3</v>
      </c>
      <c r="J11" s="5">
        <v>2</v>
      </c>
      <c r="K11" s="5">
        <v>2</v>
      </c>
      <c r="L11" s="7">
        <f>IF(K11="","",IF(K11&gt;=I11,0,IF(K11&lt;=J11,1,-1*K11+3)))</f>
        <v>1</v>
      </c>
      <c r="M11" s="8">
        <v>6.2E-2</v>
      </c>
      <c r="N11" s="8">
        <f t="shared" si="0"/>
        <v>6.2E-2</v>
      </c>
    </row>
    <row r="12" spans="2:14" x14ac:dyDescent="0.3">
      <c r="B12" s="5" t="s">
        <v>28</v>
      </c>
      <c r="C12" s="5" t="s">
        <v>8</v>
      </c>
      <c r="D12" s="32" t="s">
        <v>152</v>
      </c>
      <c r="E12" s="32" t="s">
        <v>153</v>
      </c>
      <c r="F12" s="32" t="s">
        <v>154</v>
      </c>
      <c r="G12" s="32" t="s">
        <v>155</v>
      </c>
      <c r="H12" s="32" t="s">
        <v>156</v>
      </c>
      <c r="I12" s="5">
        <v>2</v>
      </c>
      <c r="J12" s="5">
        <v>4</v>
      </c>
      <c r="K12" s="5">
        <v>4</v>
      </c>
      <c r="L12" s="7">
        <f>IF(K12="","",IF(K12&lt;=I12,0,IF(K12&gt;=J12,1,0.5*K12-1)))</f>
        <v>1</v>
      </c>
      <c r="M12" s="8">
        <v>0.115</v>
      </c>
      <c r="N12" s="8">
        <f t="shared" si="0"/>
        <v>0.115</v>
      </c>
    </row>
    <row r="13" spans="2:14" x14ac:dyDescent="0.3">
      <c r="B13" s="5" t="s">
        <v>29</v>
      </c>
      <c r="C13" s="5" t="s">
        <v>9</v>
      </c>
      <c r="D13" s="6">
        <v>8.4000000000000005E-2</v>
      </c>
      <c r="E13" s="5"/>
      <c r="F13" s="5"/>
      <c r="G13" s="5"/>
      <c r="H13" s="6">
        <v>3.5999999999999997E-2</v>
      </c>
      <c r="I13" s="6">
        <v>8.4000000000000005E-2</v>
      </c>
      <c r="J13" s="6">
        <v>3.5999999999999997E-2</v>
      </c>
      <c r="K13" s="6">
        <v>0.04</v>
      </c>
      <c r="L13" s="7">
        <f>IF(K13="","",IF(K13&gt;=I13,0,IF(K13&lt;=J13,1,-20.83*K13+1.75)))</f>
        <v>0.91680000000000006</v>
      </c>
      <c r="M13" s="8">
        <v>0.13900000000000001</v>
      </c>
      <c r="N13" s="8">
        <f t="shared" si="0"/>
        <v>0.12743520000000003</v>
      </c>
    </row>
    <row r="14" spans="2:14" x14ac:dyDescent="0.3">
      <c r="B14" s="5" t="s">
        <v>30</v>
      </c>
      <c r="C14" s="5" t="s">
        <v>15</v>
      </c>
      <c r="D14" s="6">
        <v>6.4000000000000001E-2</v>
      </c>
      <c r="E14" s="5"/>
      <c r="F14" s="5"/>
      <c r="G14" s="5"/>
      <c r="H14" s="6">
        <v>2.1999999999999999E-2</v>
      </c>
      <c r="I14" s="6">
        <v>6.4000000000000001E-2</v>
      </c>
      <c r="J14" s="6">
        <v>2.1999999999999999E-2</v>
      </c>
      <c r="K14" s="6">
        <v>0.03</v>
      </c>
      <c r="L14" s="7">
        <f>IF(K14="","",IF(K14&gt;=I14,0,IF(K14&lt;=J14,1,-23.81*K14+1.52)))</f>
        <v>0.80570000000000008</v>
      </c>
      <c r="M14" s="8">
        <v>0.06</v>
      </c>
      <c r="N14" s="8">
        <f t="shared" si="0"/>
        <v>4.8342000000000003E-2</v>
      </c>
    </row>
    <row r="15" spans="2:14" x14ac:dyDescent="0.3">
      <c r="B15" s="13" t="s">
        <v>73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>
        <f>SUM(N5:N14)</f>
        <v>0.88221080000000007</v>
      </c>
    </row>
  </sheetData>
  <mergeCells count="3">
    <mergeCell ref="I3:L3"/>
    <mergeCell ref="D3:H3"/>
    <mergeCell ref="M3:N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15</vt:i4>
      </vt:variant>
    </vt:vector>
  </HeadingPairs>
  <TitlesOfParts>
    <vt:vector size="19" baseType="lpstr">
      <vt:lpstr>input I</vt:lpstr>
      <vt:lpstr>input II</vt:lpstr>
      <vt:lpstr>engineering efficiency PLAN</vt:lpstr>
      <vt:lpstr>engineering efficiency FACT</vt:lpstr>
      <vt:lpstr>cad</vt:lpstr>
      <vt:lpstr>comm</vt:lpstr>
      <vt:lpstr>constr</vt:lpstr>
      <vt:lpstr>data</vt:lpstr>
      <vt:lpstr>designer</vt:lpstr>
      <vt:lpstr>id</vt:lpstr>
      <vt:lpstr>overlap</vt:lpstr>
      <vt:lpstr>owner</vt:lpstr>
      <vt:lpstr>percent</vt:lpstr>
      <vt:lpstr>qualifi</vt:lpstr>
      <vt:lpstr>resize</vt:lpstr>
      <vt:lpstr>scope</vt:lpstr>
      <vt:lpstr>site</vt:lpstr>
      <vt:lpstr>size</vt:lpstr>
      <vt:lpstr>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Тимошкин Андрей Васильевич</dc:creator>
  <cp:lastModifiedBy>Тимошкин Андрей Васильевич</cp:lastModifiedBy>
  <dcterms:created xsi:type="dcterms:W3CDTF">2025-12-03T10:21:43Z</dcterms:created>
  <dcterms:modified xsi:type="dcterms:W3CDTF">2026-03-23T16:34:07Z</dcterms:modified>
</cp:coreProperties>
</file>